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emmettgreen.sharepoint.com/sites/EGC-Docs/Gedeelde documenten/EGC.0029 - RE Factory De Pals/S - Simulaties/Output/"/>
    </mc:Choice>
  </mc:AlternateContent>
  <xr:revisionPtr revIDLastSave="361" documentId="13_ncr:20001_{5E986AEC-A0E1-456F-A1FE-8E7B7AA2FAE9}" xr6:coauthVersionLast="47" xr6:coauthVersionMax="47" xr10:uidLastSave="{1ACD9932-7C48-469D-A41C-6B653A83F001}"/>
  <bookViews>
    <workbookView xWindow="14595" yWindow="-21600" windowWidth="25800" windowHeight="21000" xr2:uid="{00000000-000D-0000-FFFF-FFFF00000000}"/>
  </bookViews>
  <sheets>
    <sheet name="Yearly_simulation_comparison_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1" l="1"/>
  <c r="V7" i="1"/>
  <c r="V8" i="1"/>
  <c r="N50" i="1"/>
  <c r="N51" i="1"/>
  <c r="N52" i="1" s="1"/>
  <c r="N54" i="1"/>
  <c r="N44" i="1"/>
  <c r="N45" i="1" s="1"/>
  <c r="N39" i="1"/>
  <c r="I38" i="1" a="1"/>
  <c r="I38" i="1" s="1"/>
  <c r="I33" i="1" a="1"/>
  <c r="I33" i="1" s="1"/>
  <c r="N28" i="1"/>
  <c r="N29" i="1"/>
  <c r="N23" i="1"/>
  <c r="N24" i="1"/>
  <c r="N26" i="1" s="1"/>
  <c r="N25" i="1"/>
  <c r="N53" i="1" l="1"/>
  <c r="N34" i="1"/>
  <c r="N40" i="1"/>
  <c r="J50" i="1" l="1"/>
  <c r="K50" i="1"/>
  <c r="L50" i="1"/>
  <c r="M50" i="1"/>
  <c r="J51" i="1"/>
  <c r="J52" i="1" s="1"/>
  <c r="K51" i="1"/>
  <c r="K52" i="1" s="1"/>
  <c r="L51" i="1"/>
  <c r="M51" i="1"/>
  <c r="M52" i="1" s="1"/>
  <c r="J54" i="1"/>
  <c r="K54" i="1"/>
  <c r="L54" i="1"/>
  <c r="M54" i="1"/>
  <c r="I54" i="1"/>
  <c r="I51" i="1"/>
  <c r="I52" i="1" s="1"/>
  <c r="I50" i="1"/>
  <c r="M44" i="1"/>
  <c r="M45" i="1" s="1"/>
  <c r="M39" i="1"/>
  <c r="M53" i="1" s="1"/>
  <c r="I39" i="1"/>
  <c r="M28" i="1"/>
  <c r="M29" i="1"/>
  <c r="M23" i="1"/>
  <c r="M24" i="1"/>
  <c r="M25" i="1"/>
  <c r="U8" i="1"/>
  <c r="U7" i="1"/>
  <c r="U6" i="1"/>
  <c r="L28" i="1"/>
  <c r="J44" i="1"/>
  <c r="J45" i="1" s="1"/>
  <c r="K44" i="1"/>
  <c r="K45" i="1" s="1"/>
  <c r="L44" i="1"/>
  <c r="L45" i="1" s="1"/>
  <c r="I44" i="1"/>
  <c r="I45" i="1" s="1"/>
  <c r="I53" i="1" l="1"/>
  <c r="M26" i="1"/>
  <c r="M40" i="1"/>
  <c r="L52" i="1"/>
  <c r="K53" i="1"/>
  <c r="M34" i="1"/>
  <c r="J39" i="1"/>
  <c r="J53" i="1" s="1"/>
  <c r="K39" i="1"/>
  <c r="L39" i="1"/>
  <c r="L53" i="1" s="1"/>
  <c r="I34" i="1"/>
  <c r="J34" i="1"/>
  <c r="K34" i="1"/>
  <c r="L34" i="1"/>
  <c r="J20" i="1"/>
  <c r="K20" i="1"/>
  <c r="L20" i="1"/>
  <c r="I20" i="1"/>
  <c r="J29" i="1"/>
  <c r="K29" i="1"/>
  <c r="L29" i="1"/>
  <c r="I29" i="1"/>
  <c r="J28" i="1"/>
  <c r="K28" i="1"/>
  <c r="I28" i="1"/>
  <c r="I25" i="1"/>
  <c r="J24" i="1"/>
  <c r="I24" i="1"/>
  <c r="J25" i="1"/>
  <c r="K25" i="1"/>
  <c r="L25" i="1"/>
  <c r="K24" i="1"/>
  <c r="L24" i="1"/>
  <c r="I23" i="1"/>
  <c r="J23" i="1"/>
  <c r="K23" i="1"/>
  <c r="L23" i="1"/>
  <c r="I26" i="1" l="1"/>
  <c r="K26" i="1"/>
  <c r="L26" i="1"/>
  <c r="J26" i="1"/>
  <c r="L40" i="1"/>
  <c r="K40" i="1"/>
  <c r="J40" i="1"/>
  <c r="I4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<sst xmlns="http://schemas.openxmlformats.org/spreadsheetml/2006/main" count="104" uniqueCount="84">
  <si>
    <t>2024</t>
  </si>
  <si>
    <t>Simulation</t>
  </si>
  <si>
    <t>10 MW 0,25c | 18 MW ODN | laadplein</t>
  </si>
  <si>
    <t>15 MW 0,25c | 18 MW ODN | laadplein</t>
  </si>
  <si>
    <t>20 MW 0,25c | 18 MW ODN | laadplein</t>
  </si>
  <si>
    <t>5 MW 0,25c | 21,8 MW ODN | laadplein</t>
  </si>
  <si>
    <t>index</t>
  </si>
  <si>
    <t>Charge - BESS (Electricity) [MWh]</t>
  </si>
  <si>
    <t>Consumption - Laadplein (Electricity) [MWh]</t>
  </si>
  <si>
    <t>Consumption - Wind (Electricity) [MWh]</t>
  </si>
  <si>
    <t>Cycle count - BESS (Electricity)</t>
  </si>
  <si>
    <t>Discharge - BESS (Electricity) [MWh]</t>
  </si>
  <si>
    <t>Feedin - AP BESS (Electricity) [MWh]</t>
  </si>
  <si>
    <t>Feedin - AP laadplein (Electricity) [MWh]</t>
  </si>
  <si>
    <t>Feedin - AP wind (Electricity) [MWh]</t>
  </si>
  <si>
    <t>Feedin - Grid connection 1 (Electricity) [MWh]</t>
  </si>
  <si>
    <t>Offtake - AP BESS (Electricity) [MWh]</t>
  </si>
  <si>
    <t>Offtake - AP laadplein (Electricity) [MWh]</t>
  </si>
  <si>
    <t>Offtake - AP wind (Electricity) [MWh]</t>
  </si>
  <si>
    <t>Offtake - Grid connection 1 (Electricity) [MWh]</t>
  </si>
  <si>
    <t>Peak offtake - Grid connection 1 (Electricity) [MW]</t>
  </si>
  <si>
    <t>Potential consumption - Laadplein (Electricity) [MWh]</t>
  </si>
  <si>
    <t>Potential consumption - Wind (Electricity) [MWh]</t>
  </si>
  <si>
    <t>Potential production - Laadplein (Electricity) [MWh]</t>
  </si>
  <si>
    <t>Potential production - Wind (Electricity) [MWh]</t>
  </si>
  <si>
    <t>Production - Laadplein (Electricity) [MWh]</t>
  </si>
  <si>
    <t>Production - Wind (Electricity) [MWh]</t>
  </si>
  <si>
    <t>Revenue - AP BESS - Day-ahead bought [EUR]</t>
  </si>
  <si>
    <t>Revenue - AP BESS - Day-ahead sold [EUR]</t>
  </si>
  <si>
    <t>Revenue - AP BESS - Imbalance shortage [EUR]</t>
  </si>
  <si>
    <t>Revenue - AP BESS - Imbalance surplus [EUR]</t>
  </si>
  <si>
    <t>Revenue - AP BESS - Intraday bought [EUR]</t>
  </si>
  <si>
    <t>Revenue - AP BESS - Intraday sold [EUR]</t>
  </si>
  <si>
    <t>Revenue - AP laadplein - Fixed contract feedin [EUR]</t>
  </si>
  <si>
    <t>Revenue - AP laadplein - Fixed contract offtake [EUR]</t>
  </si>
  <si>
    <t>Revenue - AP wind - Day-ahead bought [EUR]</t>
  </si>
  <si>
    <t>Revenue - AP wind - Day-ahead sold [EUR]</t>
  </si>
  <si>
    <t>Revenue - AP wind - Imbalance shortage [EUR]</t>
  </si>
  <si>
    <t>Revenue - AP wind - Imbalance surplus [EUR]</t>
  </si>
  <si>
    <t>Revenue - AP wind - Intraday bought [EUR]</t>
  </si>
  <si>
    <t>Revenue - AP wind - Intraday sold [EUR]</t>
  </si>
  <si>
    <t>Revenue TOTAL - AP BESS [EUR]</t>
  </si>
  <si>
    <t>Revenue TOTAL - AP laadplein [EUR]</t>
  </si>
  <si>
    <t>Revenue TOTAL - AP wind [EUR]</t>
  </si>
  <si>
    <t>Shortage - Day-ahead market (AP BESS) [MWh]</t>
  </si>
  <si>
    <t>Shortage - Day-ahead market (AP wind) [MWh]</t>
  </si>
  <si>
    <t>Shortage - Fixed price contract (AP laadplein) [MWh]</t>
  </si>
  <si>
    <t>Shortage - Imbalance market (AP BESS) [MWh]</t>
  </si>
  <si>
    <t>Shortage - Imbalance market (AP wind) [MWh]</t>
  </si>
  <si>
    <t>Shortage - Intraday market (AP BESS) [MWh]</t>
  </si>
  <si>
    <t>Shortage - Intraday market (AP wind) [MWh]</t>
  </si>
  <si>
    <t>Surplus - Day-ahead market (AP BESS) [MWh]</t>
  </si>
  <si>
    <t>Surplus - Day-ahead market (AP wind) [MWh]</t>
  </si>
  <si>
    <t>Surplus - Fixed price contract (AP laadplein) [MWh]</t>
  </si>
  <si>
    <t>Surplus - Imbalance market (AP BESS) [MWh]</t>
  </si>
  <si>
    <t>Surplus - Imbalance market (AP wind) [MWh]</t>
  </si>
  <si>
    <t>Surplus - Intraday market (AP BESS) [MWh]</t>
  </si>
  <si>
    <t>Surplus - Intraday market (AP wind) [MWh]</t>
  </si>
  <si>
    <t>Intra day</t>
  </si>
  <si>
    <t>Day ahead</t>
  </si>
  <si>
    <t>Imbalance</t>
  </si>
  <si>
    <t>MWh</t>
  </si>
  <si>
    <t>%</t>
  </si>
  <si>
    <t>Inkomsten/MW/jaar</t>
  </si>
  <si>
    <t>Inkomsten/MWh/ jaar</t>
  </si>
  <si>
    <t>MW</t>
  </si>
  <si>
    <t>Euro</t>
  </si>
  <si>
    <t>c</t>
  </si>
  <si>
    <t>Battery</t>
  </si>
  <si>
    <t>Wind curtailment </t>
  </si>
  <si>
    <t>Laadplein curtailment</t>
  </si>
  <si>
    <t>5 MW 0;25c | 21;8 MW ODN | laadplein | 0 GTV</t>
  </si>
  <si>
    <t>wind</t>
  </si>
  <si>
    <t>batterij</t>
  </si>
  <si>
    <t>per MW</t>
  </si>
  <si>
    <t>per MWh</t>
  </si>
  <si>
    <t>cycles</t>
  </si>
  <si>
    <t>10 MW 0,25c | 21,8 MW ODN | laadplein</t>
  </si>
  <si>
    <t>20 MW 0,25c | 18 MW ODN &amp; BS</t>
  </si>
  <si>
    <t>15 MW 0,25c | 18 MW ODN &amp; BS</t>
  </si>
  <si>
    <t>10 MW 0,25c | 18 MW ODN &amp; BS</t>
  </si>
  <si>
    <t>5 MW 0,25c | 21,8 MW ODN &amp; BS</t>
  </si>
  <si>
    <t>5 MW 0,25c | 21,8 MW ODN</t>
  </si>
  <si>
    <t>10 MW 0,25c | 21,8 MW ODN &amp; 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</si>
</sst>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€&quot;\ #,##0.00;[Red]&quot;€&quot;\ \-#,##0.00"/>
    <numFmt numFmtId="164" formatCode="&quot;€&quot;\ #,##0.00"/>
    <numFmt numFmtId="167" formatCode="&quot;€&quot;\ #,##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2" xfId="0" applyBorder="1"/>
    <xf numFmtId="4" fontId="0" fillId="0" borderId="1" xfId="0" applyNumberFormat="1" applyBorder="1"/>
    <xf numFmtId="8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4" fillId="0" borderId="1" xfId="0" applyFont="1" applyBorder="1"/>
    <xf numFmtId="164" fontId="0" fillId="0" borderId="0" xfId="0" applyNumberFormat="1"/>
    <xf numFmtId="0" fontId="0" fillId="0" borderId="0" xfId="0" applyBorder="1" applyAlignment="1">
      <alignment horizontal="center"/>
    </xf>
    <xf numFmtId="4" fontId="0" fillId="0" borderId="0" xfId="0" applyNumberFormat="1" applyBorder="1"/>
    <xf numFmtId="0" fontId="0" fillId="0" borderId="6" xfId="0" applyFill="1" applyBorder="1"/>
    <xf numFmtId="4" fontId="0" fillId="0" borderId="0" xfId="0" applyNumberFormat="1"/>
    <xf numFmtId="167" fontId="0" fillId="0" borderId="0" xfId="0" applyNumberFormat="1"/>
    <xf numFmtId="167" fontId="0" fillId="0" borderId="1" xfId="0" applyNumberFormat="1" applyBorder="1"/>
    <xf numFmtId="167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 dirty="0" err="1">
                <a:solidFill>
                  <a:prstClr val="black">
                    <a:lumMod val="65000"/>
                    <a:lumOff val="35000"/>
                  </a:prstClr>
                </a:solidFill>
              </a:rPr>
              <a:t>Inkomsten</a:t>
            </a:r>
            <a:r>
              <a:rPr lang="en-GB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 BESS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Yearly_simulation_comparison_RE!$Q$5:$V$5</c:f>
              <c:strCache>
                <c:ptCount val="6"/>
                <c:pt idx="0">
                  <c:v>10 MW 0,25c | 18 MW ODN &amp; BS</c:v>
                </c:pt>
                <c:pt idx="1">
                  <c:v>15 MW 0,25c | 18 MW ODN &amp; BS</c:v>
                </c:pt>
                <c:pt idx="2">
                  <c:v>20 MW 0,25c | 18 MW ODN &amp; BS</c:v>
                </c:pt>
                <c:pt idx="3">
                  <c:v>5 MW 0,25c | 21,8 MW ODN &amp; BS</c:v>
                </c:pt>
                <c:pt idx="4">
                  <c:v>5 MW 0,25c | 21,8 MW ODN</c:v>
                </c:pt>
                <c:pt idx="5">
                  <c:v>10 MW 0,25c | 21,8 MW ODN &amp; BS</c:v>
                </c:pt>
              </c:strCache>
            </c:strRef>
          </c:cat>
          <c:val>
            <c:numRef>
              <c:f>Yearly_simulation_comparison_RE!$Q$6:$V$6</c:f>
              <c:numCache>
                <c:formatCode>"€"#,##0.00_);[Red]\("€"#,##0.00\)</c:formatCode>
                <c:ptCount val="6"/>
                <c:pt idx="0">
                  <c:v>441998.99900000001</c:v>
                </c:pt>
                <c:pt idx="1">
                  <c:v>515155.73800000001</c:v>
                </c:pt>
                <c:pt idx="2">
                  <c:v>539974.35699999996</c:v>
                </c:pt>
                <c:pt idx="3">
                  <c:v>297449.92099999997</c:v>
                </c:pt>
                <c:pt idx="4" formatCode="&quot;€&quot;\ #,##0.00">
                  <c:v>278308.70799999998</c:v>
                </c:pt>
                <c:pt idx="5" formatCode="&quot;€&quot;\ #,##0.00">
                  <c:v>495985.739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19-4392-B377-D65C7DFE48D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Yearly_simulation_comparison_RE!$Q$5:$V$5</c:f>
              <c:strCache>
                <c:ptCount val="6"/>
                <c:pt idx="0">
                  <c:v>10 MW 0,25c | 18 MW ODN &amp; BS</c:v>
                </c:pt>
                <c:pt idx="1">
                  <c:v>15 MW 0,25c | 18 MW ODN &amp; BS</c:v>
                </c:pt>
                <c:pt idx="2">
                  <c:v>20 MW 0,25c | 18 MW ODN &amp; BS</c:v>
                </c:pt>
                <c:pt idx="3">
                  <c:v>5 MW 0,25c | 21,8 MW ODN &amp; BS</c:v>
                </c:pt>
                <c:pt idx="4">
                  <c:v>5 MW 0,25c | 21,8 MW ODN</c:v>
                </c:pt>
                <c:pt idx="5">
                  <c:v>10 MW 0,25c | 21,8 MW ODN &amp; BS</c:v>
                </c:pt>
              </c:strCache>
            </c:strRef>
          </c:cat>
          <c:val>
            <c:numRef>
              <c:f>Yearly_simulation_comparison_RE!$Q$7:$V$7</c:f>
              <c:numCache>
                <c:formatCode>"€"#,##0.00_);[Red]\("€"#,##0.00\)</c:formatCode>
                <c:ptCount val="6"/>
                <c:pt idx="0">
                  <c:v>181637.533</c:v>
                </c:pt>
                <c:pt idx="1">
                  <c:v>236777.96</c:v>
                </c:pt>
                <c:pt idx="2">
                  <c:v>281624.13699999999</c:v>
                </c:pt>
                <c:pt idx="3">
                  <c:v>125023.567</c:v>
                </c:pt>
                <c:pt idx="4" formatCode="&quot;€&quot;\ #,##0.00">
                  <c:v>130742.064</c:v>
                </c:pt>
                <c:pt idx="5" formatCode="&quot;€&quot;\ #,##0.00">
                  <c:v>188525.62099999998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19-4392-B377-D65C7DFE48DE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Yearly_simulation_comparison_RE!$Q$5:$V$5</c:f>
              <c:strCache>
                <c:ptCount val="6"/>
                <c:pt idx="0">
                  <c:v>10 MW 0,25c | 18 MW ODN &amp; BS</c:v>
                </c:pt>
                <c:pt idx="1">
                  <c:v>15 MW 0,25c | 18 MW ODN &amp; BS</c:v>
                </c:pt>
                <c:pt idx="2">
                  <c:v>20 MW 0,25c | 18 MW ODN &amp; BS</c:v>
                </c:pt>
                <c:pt idx="3">
                  <c:v>5 MW 0,25c | 21,8 MW ODN &amp; BS</c:v>
                </c:pt>
                <c:pt idx="4">
                  <c:v>5 MW 0,25c | 21,8 MW ODN</c:v>
                </c:pt>
                <c:pt idx="5">
                  <c:v>10 MW 0,25c | 21,8 MW ODN &amp; BS</c:v>
                </c:pt>
              </c:strCache>
            </c:strRef>
          </c:cat>
          <c:val>
            <c:numRef>
              <c:f>Yearly_simulation_comparison_RE!$Q$8:$V$8</c:f>
              <c:numCache>
                <c:formatCode>"€"#,##0.00_);[Red]\("€"#,##0.00\)</c:formatCode>
                <c:ptCount val="6"/>
                <c:pt idx="0">
                  <c:v>1112032.9339999999</c:v>
                </c:pt>
                <c:pt idx="1">
                  <c:v>1364962.804</c:v>
                </c:pt>
                <c:pt idx="2">
                  <c:v>1552135.594</c:v>
                </c:pt>
                <c:pt idx="3">
                  <c:v>648483.89</c:v>
                </c:pt>
                <c:pt idx="4" formatCode="&quot;€&quot;\ #,##0.00">
                  <c:v>568913.75900000008</c:v>
                </c:pt>
                <c:pt idx="5" formatCode="&quot;€&quot;\ #,##0.00">
                  <c:v>1239635.4350000001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19-4392-B377-D65C7DFE4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4809744"/>
        <c:axId val="554810704"/>
      </c:barChart>
      <c:catAx>
        <c:axId val="55480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554810704"/>
        <c:crosses val="autoZero"/>
        <c:auto val="1"/>
        <c:lblAlgn val="ctr"/>
        <c:lblOffset val="100"/>
        <c:noMultiLvlLbl val="0"/>
      </c:catAx>
      <c:valAx>
        <c:axId val="55481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_);[Red]\(&quot;€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55480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Wind</a:t>
            </a:r>
            <a:r>
              <a:rPr lang="en-GB" baseline="0"/>
              <a:t> curtailment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Yearly_simulation_comparison_RE!$I$22:$N$22</c:f>
              <c:strCache>
                <c:ptCount val="6"/>
                <c:pt idx="0">
                  <c:v>10 MW 0,25c | 18 MW ODN &amp; BS</c:v>
                </c:pt>
                <c:pt idx="1">
                  <c:v>15 MW 0,25c | 18 MW ODN &amp; BS</c:v>
                </c:pt>
                <c:pt idx="2">
                  <c:v>20 MW 0,25c | 18 MW ODN &amp; BS</c:v>
                </c:pt>
                <c:pt idx="3">
                  <c:v>5 MW 0,25c | 21,8 MW ODN &amp; BS</c:v>
                </c:pt>
                <c:pt idx="4">
                  <c:v>5 MW 0,25c | 21,8 MW ODN</c:v>
                </c:pt>
                <c:pt idx="5">
                  <c:v>10 MW 0,25c | 21,8 MW ODN &amp; BS</c:v>
                </c:pt>
              </c:strCache>
            </c:strRef>
          </c:cat>
          <c:val>
            <c:numRef>
              <c:f>Yearly_simulation_comparison_RE!$I$28:$N$28</c:f>
              <c:numCache>
                <c:formatCode>General</c:formatCode>
                <c:ptCount val="6"/>
                <c:pt idx="0">
                  <c:v>11847.911999999997</c:v>
                </c:pt>
                <c:pt idx="1">
                  <c:v>11300.669999999998</c:v>
                </c:pt>
                <c:pt idx="2">
                  <c:v>10964.900999999998</c:v>
                </c:pt>
                <c:pt idx="3">
                  <c:v>12312.838000000003</c:v>
                </c:pt>
                <c:pt idx="4">
                  <c:v>11581.053999999996</c:v>
                </c:pt>
                <c:pt idx="5">
                  <c:v>11041.188000000002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D-4224-81BB-2CEC511AE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9084783"/>
        <c:axId val="1919083343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Yearly_simulation_comparison_RE!$I$22:$N$22</c:f>
              <c:strCache>
                <c:ptCount val="6"/>
                <c:pt idx="0">
                  <c:v>10 MW 0,25c | 18 MW ODN &amp; BS</c:v>
                </c:pt>
                <c:pt idx="1">
                  <c:v>15 MW 0,25c | 18 MW ODN &amp; BS</c:v>
                </c:pt>
                <c:pt idx="2">
                  <c:v>20 MW 0,25c | 18 MW ODN &amp; BS</c:v>
                </c:pt>
                <c:pt idx="3">
                  <c:v>5 MW 0,25c | 21,8 MW ODN &amp; BS</c:v>
                </c:pt>
                <c:pt idx="4">
                  <c:v>5 MW 0,25c | 21,8 MW ODN</c:v>
                </c:pt>
                <c:pt idx="5">
                  <c:v>10 MW 0,25c | 21,8 MW ODN &amp; BS</c:v>
                </c:pt>
              </c:strCache>
            </c:strRef>
          </c:cat>
          <c:val>
            <c:numRef>
              <c:f>Yearly_simulation_comparison_RE!$I$29:$N$29</c:f>
              <c:numCache>
                <c:formatCode>0.00</c:formatCode>
                <c:ptCount val="6"/>
                <c:pt idx="0">
                  <c:v>16.925588571428563</c:v>
                </c:pt>
                <c:pt idx="1">
                  <c:v>16.143814285714285</c:v>
                </c:pt>
                <c:pt idx="2">
                  <c:v>15.664144285714288</c:v>
                </c:pt>
                <c:pt idx="3">
                  <c:v>17.589768571428579</c:v>
                </c:pt>
                <c:pt idx="4">
                  <c:v>16.544362857142847</c:v>
                </c:pt>
                <c:pt idx="5">
                  <c:v>15.773125714285719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4D-4224-81BB-2CEC511AE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9079983"/>
        <c:axId val="1919078543"/>
      </c:lineChart>
      <c:catAx>
        <c:axId val="191908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919083343"/>
        <c:crosses val="autoZero"/>
        <c:auto val="1"/>
        <c:lblAlgn val="ctr"/>
        <c:lblOffset val="100"/>
        <c:noMultiLvlLbl val="0"/>
      </c:catAx>
      <c:valAx>
        <c:axId val="191908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Curtailment</a:t>
                </a:r>
                <a:r>
                  <a:rPr lang="en-GB" baseline="0"/>
                  <a:t> [MWh]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919084783"/>
        <c:crosses val="autoZero"/>
        <c:crossBetween val="between"/>
      </c:valAx>
      <c:valAx>
        <c:axId val="191907854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</a:t>
                </a:r>
                <a:r>
                  <a:rPr lang="en-GB" baseline="0"/>
                  <a:t> [%]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919079983"/>
        <c:crosses val="max"/>
        <c:crossBetween val="between"/>
      </c:valAx>
      <c:catAx>
        <c:axId val="19190799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190785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Laadplein curtailment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Yearly_simulation_comparison_RE!$I$43:$N$43</c:f>
              <c:strCache>
                <c:ptCount val="6"/>
                <c:pt idx="0">
                  <c:v>10 MW 0,25c | 18 MW ODN &amp; BS</c:v>
                </c:pt>
                <c:pt idx="1">
                  <c:v>15 MW 0,25c | 18 MW ODN &amp; BS</c:v>
                </c:pt>
                <c:pt idx="2">
                  <c:v>20 MW 0,25c | 18 MW ODN &amp; BS</c:v>
                </c:pt>
                <c:pt idx="3">
                  <c:v>5 MW 0,25c | 21,8 MW ODN &amp; BS</c:v>
                </c:pt>
                <c:pt idx="4">
                  <c:v>5 MW 0,25c | 21,8 MW ODN</c:v>
                </c:pt>
                <c:pt idx="5">
                  <c:v>10 MW 0,25c | 21,8 MW ODN &amp; BS</c:v>
                </c:pt>
              </c:strCache>
            </c:strRef>
          </c:cat>
          <c:val>
            <c:numRef>
              <c:f>Yearly_simulation_comparison_RE!$I$44:$N$44</c:f>
              <c:numCache>
                <c:formatCode>General</c:formatCode>
                <c:ptCount val="6"/>
                <c:pt idx="0">
                  <c:v>655.30400000000009</c:v>
                </c:pt>
                <c:pt idx="1">
                  <c:v>524.35200000000077</c:v>
                </c:pt>
                <c:pt idx="2">
                  <c:v>425.27200000000084</c:v>
                </c:pt>
                <c:pt idx="3">
                  <c:v>835.23300000000017</c:v>
                </c:pt>
                <c:pt idx="4">
                  <c:v>1071.6710000000003</c:v>
                </c:pt>
                <c:pt idx="5">
                  <c:v>655.52500000000146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1-4566-96E6-0E3A69563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9209503"/>
        <c:axId val="1809209983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Yearly_simulation_comparison_RE!$I$43:$N$43</c:f>
              <c:strCache>
                <c:ptCount val="6"/>
                <c:pt idx="0">
                  <c:v>10 MW 0,25c | 18 MW ODN &amp; BS</c:v>
                </c:pt>
                <c:pt idx="1">
                  <c:v>15 MW 0,25c | 18 MW ODN &amp; BS</c:v>
                </c:pt>
                <c:pt idx="2">
                  <c:v>20 MW 0,25c | 18 MW ODN &amp; BS</c:v>
                </c:pt>
                <c:pt idx="3">
                  <c:v>5 MW 0,25c | 21,8 MW ODN &amp; BS</c:v>
                </c:pt>
                <c:pt idx="4">
                  <c:v>5 MW 0,25c | 21,8 MW ODN</c:v>
                </c:pt>
                <c:pt idx="5">
                  <c:v>10 MW 0,25c | 21,8 MW ODN &amp; BS</c:v>
                </c:pt>
              </c:strCache>
            </c:strRef>
          </c:cat>
          <c:val>
            <c:numRef>
              <c:f>Yearly_simulation_comparison_RE!$I$45:$N$45</c:f>
              <c:numCache>
                <c:formatCode>0%</c:formatCode>
                <c:ptCount val="6"/>
                <c:pt idx="0">
                  <c:v>4.0935750691368317E-2</c:v>
                </c:pt>
                <c:pt idx="1">
                  <c:v>3.2755397108090882E-2</c:v>
                </c:pt>
                <c:pt idx="2">
                  <c:v>2.6566034341343282E-2</c:v>
                </c:pt>
                <c:pt idx="3">
                  <c:v>5.2175615984647788E-2</c:v>
                </c:pt>
                <c:pt idx="4">
                  <c:v>6.6945504497407896E-2</c:v>
                </c:pt>
                <c:pt idx="5">
                  <c:v>4.0949556193704405E-2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61-4566-96E6-0E3A69563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4460543"/>
        <c:axId val="2064460063"/>
      </c:lineChart>
      <c:catAx>
        <c:axId val="180920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809209983"/>
        <c:crosses val="autoZero"/>
        <c:auto val="1"/>
        <c:lblAlgn val="ctr"/>
        <c:lblOffset val="100"/>
        <c:noMultiLvlLbl val="0"/>
      </c:catAx>
      <c:valAx>
        <c:axId val="180920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Curtailment [MWh]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809209503"/>
        <c:crosses val="autoZero"/>
        <c:crossBetween val="between"/>
      </c:valAx>
      <c:valAx>
        <c:axId val="206446006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Percentage</a:t>
                </a:r>
                <a:r>
                  <a:rPr lang="en-GB" baseline="0"/>
                  <a:t> [%]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064460543"/>
        <c:crosses val="max"/>
        <c:crossBetween val="between"/>
      </c:valAx>
      <c:catAx>
        <c:axId val="2064460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644600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980931</xdr:colOff>
      <xdr:row>1</xdr:row>
      <xdr:rowOff>11402</xdr:rowOff>
    </xdr:from>
    <xdr:to>
      <xdr:col>14</xdr:col>
      <xdr:colOff>591417</xdr:colOff>
      <xdr:row>16</xdr:row>
      <xdr:rowOff>163946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AFB6AC-ADD9-3FB2-E2C1-CC1B44F3D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163511</xdr:colOff>
      <xdr:row>13</xdr:row>
      <xdr:rowOff>74612</xdr:rowOff>
    </xdr:from>
    <xdr:to>
      <xdr:col>21</xdr:col>
      <xdr:colOff>883227</xdr:colOff>
      <xdr:row>28</xdr:row>
      <xdr:rowOff>138545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401887-7B63-0FDF-BD30-17C99A603F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398461</xdr:colOff>
      <xdr:row>31</xdr:row>
      <xdr:rowOff>144461</xdr:rowOff>
    </xdr:from>
    <xdr:to>
      <xdr:col>21</xdr:col>
      <xdr:colOff>935181</xdr:colOff>
      <xdr:row>48</xdr:row>
      <xdr:rowOff>17317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CB7E59-2B81-112A-54D6-09A906F33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7"/>
  <sheetViews>
    <sheetView tabSelected="1" zoomScale="70" zoomScaleNormal="70" workbookViewId="0">
      <selection activeCell="G7" sqref="G7"/>
    </sheetView>
  </sheetViews>
  <sheetFormatPr defaultRowHeight="14.5" x14ac:dyDescent="0.35"/>
  <cols>
    <col min="1" max="1" width="47.7265625" bestFit="1" customWidth="1"/>
    <col min="2" max="4" width="34.1796875" bestFit="1" customWidth="1"/>
    <col min="5" max="5" width="34.7265625" bestFit="1" customWidth="1"/>
    <col min="6" max="7" width="34.7265625" customWidth="1"/>
    <col min="8" max="8" width="15.54296875" customWidth="1"/>
    <col min="9" max="10" width="20.08984375" bestFit="1" customWidth="1"/>
    <col min="11" max="11" width="24.6328125" bestFit="1" customWidth="1"/>
    <col min="12" max="12" width="20.1796875" bestFit="1" customWidth="1"/>
    <col min="13" max="14" width="20.1796875" customWidth="1"/>
    <col min="15" max="15" width="9.6328125" bestFit="1" customWidth="1"/>
    <col min="17" max="18" width="20" bestFit="1" customWidth="1"/>
    <col min="19" max="19" width="20.453125" bestFit="1" customWidth="1"/>
    <col min="20" max="20" width="20" bestFit="1" customWidth="1"/>
    <col min="21" max="21" width="15.90625" customWidth="1"/>
    <col min="22" max="22" width="17" customWidth="1"/>
  </cols>
  <sheetData>
    <row r="1" spans="1:22" x14ac:dyDescent="0.35">
      <c r="A1" s="1"/>
      <c r="B1" s="14" t="s">
        <v>0</v>
      </c>
      <c r="C1" s="15"/>
      <c r="D1" s="15"/>
      <c r="E1" s="15"/>
      <c r="F1" s="15"/>
      <c r="G1" s="13"/>
    </row>
    <row r="2" spans="1:22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6" t="s">
        <v>71</v>
      </c>
      <c r="G2" s="1" t="s">
        <v>77</v>
      </c>
    </row>
    <row r="3" spans="1:22" x14ac:dyDescent="0.35">
      <c r="A3" s="1" t="s">
        <v>6</v>
      </c>
    </row>
    <row r="4" spans="1:22" x14ac:dyDescent="0.35">
      <c r="A4" s="1" t="s">
        <v>7</v>
      </c>
      <c r="B4">
        <v>-11238.944</v>
      </c>
      <c r="C4">
        <v>-13628.001</v>
      </c>
      <c r="D4">
        <v>-14856.258</v>
      </c>
      <c r="E4">
        <v>-7157.96</v>
      </c>
      <c r="F4">
        <v>-6561.9989999999998</v>
      </c>
      <c r="G4">
        <v>-12377.923000000001</v>
      </c>
    </row>
    <row r="5" spans="1:22" x14ac:dyDescent="0.35">
      <c r="A5" s="1" t="s">
        <v>8</v>
      </c>
      <c r="B5">
        <v>-15352.806</v>
      </c>
      <c r="C5">
        <v>-15483.758</v>
      </c>
      <c r="D5">
        <v>-15582.838</v>
      </c>
      <c r="E5">
        <v>-15172.877</v>
      </c>
      <c r="F5">
        <v>-14936.439</v>
      </c>
      <c r="G5">
        <v>-15352.584999999999</v>
      </c>
      <c r="Q5" s="2" t="s">
        <v>80</v>
      </c>
      <c r="R5" s="2" t="s">
        <v>79</v>
      </c>
      <c r="S5" s="2" t="s">
        <v>78</v>
      </c>
      <c r="T5" s="2" t="s">
        <v>81</v>
      </c>
      <c r="U5" s="2" t="s">
        <v>82</v>
      </c>
      <c r="V5" s="1" t="s">
        <v>83</v>
      </c>
    </row>
    <row r="6" spans="1:22" x14ac:dyDescent="0.35">
      <c r="A6" s="1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Q6" s="5">
        <v>441998.99900000001</v>
      </c>
      <c r="R6" s="5">
        <v>515155.73800000001</v>
      </c>
      <c r="S6" s="5">
        <v>539974.35699999996</v>
      </c>
      <c r="T6" s="5">
        <v>297449.92099999997</v>
      </c>
      <c r="U6" s="7">
        <f>SUM(F28:F29)</f>
        <v>278308.70799999998</v>
      </c>
      <c r="V6" s="7">
        <f>SUM(G28:G29)</f>
        <v>495985.739</v>
      </c>
    </row>
    <row r="7" spans="1:22" x14ac:dyDescent="0.35">
      <c r="A7" s="1" t="s">
        <v>10</v>
      </c>
      <c r="B7">
        <v>288.57400000000001</v>
      </c>
      <c r="C7">
        <v>232.32300000000001</v>
      </c>
      <c r="D7">
        <v>189.30799999999999</v>
      </c>
      <c r="E7">
        <v>368.91300000000001</v>
      </c>
      <c r="F7">
        <v>339.108</v>
      </c>
      <c r="G7">
        <v>319.28399999999999</v>
      </c>
      <c r="Q7" s="5">
        <v>181637.533</v>
      </c>
      <c r="R7" s="5">
        <v>236777.96</v>
      </c>
      <c r="S7" s="5">
        <v>281624.13699999999</v>
      </c>
      <c r="T7" s="5">
        <v>125023.567</v>
      </c>
      <c r="U7" s="7">
        <f>SUM(F24:F25)</f>
        <v>130742.064</v>
      </c>
      <c r="V7" s="7">
        <f>SUM(G24:G25)</f>
        <v>188525.62099999998</v>
      </c>
    </row>
    <row r="8" spans="1:22" x14ac:dyDescent="0.35">
      <c r="A8" s="1" t="s">
        <v>11</v>
      </c>
      <c r="B8">
        <v>10041.634</v>
      </c>
      <c r="C8">
        <v>12178.248</v>
      </c>
      <c r="D8">
        <v>13276.597</v>
      </c>
      <c r="E8">
        <v>6395.4639999999999</v>
      </c>
      <c r="F8">
        <v>5860.683</v>
      </c>
      <c r="G8">
        <v>11055.508</v>
      </c>
      <c r="Q8" s="5">
        <v>1112032.9339999999</v>
      </c>
      <c r="R8" s="5">
        <v>1364962.804</v>
      </c>
      <c r="S8" s="5">
        <v>1552135.594</v>
      </c>
      <c r="T8" s="5">
        <v>648483.89</v>
      </c>
      <c r="U8" s="7">
        <f>SUM(F26:F27)</f>
        <v>568913.75900000008</v>
      </c>
      <c r="V8" s="7">
        <f>SUM(G26:G27)</f>
        <v>1239635.4350000001</v>
      </c>
    </row>
    <row r="9" spans="1:22" x14ac:dyDescent="0.35">
      <c r="A9" s="1" t="s">
        <v>12</v>
      </c>
      <c r="B9">
        <v>-10041.634</v>
      </c>
      <c r="C9">
        <v>-12178.248</v>
      </c>
      <c r="D9">
        <v>-13276.597</v>
      </c>
      <c r="E9">
        <v>-6395.4639999999999</v>
      </c>
      <c r="F9">
        <v>-5860.683</v>
      </c>
      <c r="G9">
        <v>-11055.508</v>
      </c>
    </row>
    <row r="10" spans="1:22" x14ac:dyDescent="0.35">
      <c r="A10" s="1" t="s">
        <v>13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22" x14ac:dyDescent="0.35">
      <c r="A11" s="1" t="s">
        <v>14</v>
      </c>
      <c r="B11">
        <v>-58152.088000000003</v>
      </c>
      <c r="C11">
        <v>-58699.33</v>
      </c>
      <c r="D11">
        <v>-59035.099000000002</v>
      </c>
      <c r="E11">
        <v>-57687.161999999997</v>
      </c>
      <c r="F11">
        <v>-58418.946000000004</v>
      </c>
      <c r="G11">
        <v>-58958.811999999998</v>
      </c>
    </row>
    <row r="12" spans="1:22" x14ac:dyDescent="0.35">
      <c r="A12" s="1" t="s">
        <v>15</v>
      </c>
      <c r="B12">
        <v>-44033.394</v>
      </c>
      <c r="C12">
        <v>-44970.197</v>
      </c>
      <c r="D12">
        <v>-45463.803</v>
      </c>
      <c r="E12">
        <v>-43051.296000000002</v>
      </c>
      <c r="F12">
        <v>-42781.190999999999</v>
      </c>
      <c r="G12">
        <v>-44766.485000000001</v>
      </c>
    </row>
    <row r="13" spans="1:22" x14ac:dyDescent="0.35">
      <c r="A13" s="1" t="s">
        <v>16</v>
      </c>
      <c r="B13">
        <v>11238.944</v>
      </c>
      <c r="C13">
        <v>13628.001</v>
      </c>
      <c r="D13">
        <v>14856.258</v>
      </c>
      <c r="E13">
        <v>7157.96</v>
      </c>
      <c r="F13">
        <v>6561.9989999999998</v>
      </c>
      <c r="G13">
        <v>12377.923000000001</v>
      </c>
    </row>
    <row r="14" spans="1:22" x14ac:dyDescent="0.35">
      <c r="A14" s="1" t="s">
        <v>17</v>
      </c>
      <c r="B14">
        <v>15352.806</v>
      </c>
      <c r="C14">
        <v>15483.758</v>
      </c>
      <c r="D14">
        <v>15582.838</v>
      </c>
      <c r="E14">
        <v>15172.877</v>
      </c>
      <c r="F14">
        <v>14936.439</v>
      </c>
      <c r="G14">
        <v>15352.584999999999</v>
      </c>
    </row>
    <row r="15" spans="1:22" x14ac:dyDescent="0.35">
      <c r="A15" s="1" t="s">
        <v>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22" x14ac:dyDescent="0.35">
      <c r="A16" s="1" t="s">
        <v>19</v>
      </c>
      <c r="B16">
        <v>2431.4209999999998</v>
      </c>
      <c r="C16">
        <v>3204.3780000000002</v>
      </c>
      <c r="D16">
        <v>3591.203</v>
      </c>
      <c r="E16">
        <v>1299.5060000000001</v>
      </c>
      <c r="F16">
        <v>0</v>
      </c>
      <c r="G16">
        <v>2482.6729999999998</v>
      </c>
    </row>
    <row r="17" spans="1:15" x14ac:dyDescent="0.35">
      <c r="A17" s="1" t="s">
        <v>20</v>
      </c>
      <c r="B17">
        <v>5</v>
      </c>
      <c r="C17">
        <v>5</v>
      </c>
      <c r="D17">
        <v>5</v>
      </c>
      <c r="E17">
        <v>5</v>
      </c>
      <c r="F17">
        <v>0</v>
      </c>
      <c r="G17">
        <v>5</v>
      </c>
    </row>
    <row r="18" spans="1:15" x14ac:dyDescent="0.35">
      <c r="A18" s="1" t="s">
        <v>21</v>
      </c>
      <c r="B18">
        <v>-16008.11</v>
      </c>
      <c r="C18">
        <v>-16008.11</v>
      </c>
      <c r="D18">
        <v>-16008.11</v>
      </c>
      <c r="E18">
        <v>-16008.11</v>
      </c>
      <c r="F18">
        <v>-16008.11</v>
      </c>
      <c r="G18">
        <v>-16008.11</v>
      </c>
    </row>
    <row r="19" spans="1:15" x14ac:dyDescent="0.35">
      <c r="A19" s="1" t="s">
        <v>22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15" x14ac:dyDescent="0.35">
      <c r="A20" s="1" t="s">
        <v>23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I20">
        <f>(1+B23/(B12-B8))*(-100)</f>
        <v>7.5396354857181214</v>
      </c>
      <c r="J20">
        <f>(1+C23/(C12-C8))*(-100)</f>
        <v>2.7137833759081298</v>
      </c>
      <c r="K20">
        <f>(1+D23/(D12-D8))*(-100)</f>
        <v>0.50169729862241663</v>
      </c>
      <c r="L20">
        <f>(1+E23/(E12-E8))*(-100)</f>
        <v>16.665201117322948</v>
      </c>
    </row>
    <row r="21" spans="1:15" x14ac:dyDescent="0.35">
      <c r="A21" s="1" t="s">
        <v>24</v>
      </c>
      <c r="B21">
        <v>70000</v>
      </c>
      <c r="C21">
        <v>70000</v>
      </c>
      <c r="D21">
        <v>70000</v>
      </c>
      <c r="E21">
        <v>70000</v>
      </c>
      <c r="F21">
        <v>70000</v>
      </c>
      <c r="G21">
        <v>70000</v>
      </c>
    </row>
    <row r="22" spans="1:15" x14ac:dyDescent="0.35">
      <c r="A22" s="1" t="s">
        <v>25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I22" s="2" t="s">
        <v>80</v>
      </c>
      <c r="J22" s="2" t="s">
        <v>79</v>
      </c>
      <c r="K22" s="2" t="s">
        <v>78</v>
      </c>
      <c r="L22" s="2" t="s">
        <v>81</v>
      </c>
      <c r="M22" s="2" t="s">
        <v>82</v>
      </c>
      <c r="N22" s="1" t="s">
        <v>83</v>
      </c>
    </row>
    <row r="23" spans="1:15" x14ac:dyDescent="0.35">
      <c r="A23" s="1" t="s">
        <v>26</v>
      </c>
      <c r="B23">
        <v>58152.088000000003</v>
      </c>
      <c r="C23">
        <v>58699.33</v>
      </c>
      <c r="D23">
        <v>59035.099000000002</v>
      </c>
      <c r="E23">
        <v>57687.161999999997</v>
      </c>
      <c r="F23">
        <v>58418.946000000004</v>
      </c>
      <c r="G23">
        <v>58958.811999999998</v>
      </c>
      <c r="I23" s="23">
        <f>B29+B28</f>
        <v>441998.99899999995</v>
      </c>
      <c r="J23" s="23">
        <f>C29+C28</f>
        <v>515155.73799999995</v>
      </c>
      <c r="K23" s="23">
        <f>D29+D28</f>
        <v>539974.35699999996</v>
      </c>
      <c r="L23" s="23">
        <f>E29+E28</f>
        <v>297449.92100000003</v>
      </c>
      <c r="M23" s="23">
        <f>F29+F28</f>
        <v>278308.70799999998</v>
      </c>
      <c r="N23" s="23">
        <f>G29+G28</f>
        <v>495985.739</v>
      </c>
      <c r="O23" s="2" t="s">
        <v>58</v>
      </c>
    </row>
    <row r="24" spans="1:15" x14ac:dyDescent="0.35">
      <c r="A24" s="1" t="s">
        <v>27</v>
      </c>
      <c r="B24">
        <v>-36935.402000000002</v>
      </c>
      <c r="C24">
        <v>-35446.517999999996</v>
      </c>
      <c r="D24">
        <v>-34351.978999999999</v>
      </c>
      <c r="E24">
        <v>-25900.53</v>
      </c>
      <c r="F24">
        <v>-9389.6370000000006</v>
      </c>
      <c r="G24">
        <v>-31813.255000000001</v>
      </c>
      <c r="I24" s="23">
        <f>B25+B24</f>
        <v>181637.533</v>
      </c>
      <c r="J24" s="23">
        <f>C25+C24</f>
        <v>236777.96000000002</v>
      </c>
      <c r="K24" s="23">
        <f>D25+D24</f>
        <v>281624.13699999999</v>
      </c>
      <c r="L24" s="23">
        <f>E25+E24</f>
        <v>125023.56700000001</v>
      </c>
      <c r="M24" s="23">
        <f>F25+F24</f>
        <v>130742.064</v>
      </c>
      <c r="N24" s="23">
        <f>G25+G24</f>
        <v>188525.62099999998</v>
      </c>
      <c r="O24" s="2" t="s">
        <v>59</v>
      </c>
    </row>
    <row r="25" spans="1:15" x14ac:dyDescent="0.35">
      <c r="A25" s="1" t="s">
        <v>28</v>
      </c>
      <c r="B25">
        <v>218572.935</v>
      </c>
      <c r="C25">
        <v>272224.478</v>
      </c>
      <c r="D25">
        <v>315976.11599999998</v>
      </c>
      <c r="E25">
        <v>150924.09700000001</v>
      </c>
      <c r="F25">
        <v>140131.701</v>
      </c>
      <c r="G25">
        <v>220338.87599999999</v>
      </c>
      <c r="I25" s="23">
        <f>B27+B26</f>
        <v>1112032.9339999999</v>
      </c>
      <c r="J25" s="23">
        <f>C27+C26</f>
        <v>1364962.804</v>
      </c>
      <c r="K25" s="23">
        <f>D27+D26</f>
        <v>1552135.594</v>
      </c>
      <c r="L25" s="23">
        <f>E27+E26</f>
        <v>648483.89000000013</v>
      </c>
      <c r="M25" s="23">
        <f>F27+F26</f>
        <v>568913.75900000008</v>
      </c>
      <c r="N25" s="23">
        <f>G27+G26</f>
        <v>1239635.4350000001</v>
      </c>
      <c r="O25" s="2" t="s">
        <v>60</v>
      </c>
    </row>
    <row r="26" spans="1:15" x14ac:dyDescent="0.35">
      <c r="A26" s="1" t="s">
        <v>29</v>
      </c>
      <c r="B26">
        <v>-798882.09</v>
      </c>
      <c r="C26">
        <v>-976572.85600000003</v>
      </c>
      <c r="D26">
        <v>-1054174.085</v>
      </c>
      <c r="E26">
        <v>-504314.21399999998</v>
      </c>
      <c r="F26">
        <v>-487392.68599999999</v>
      </c>
      <c r="G26">
        <v>-850542.527</v>
      </c>
      <c r="I26" s="24">
        <f>SUM(I23:I25)</f>
        <v>1735669.4659999998</v>
      </c>
      <c r="J26" s="24">
        <f t="shared" ref="J26:N26" si="0">SUM(J23:J25)</f>
        <v>2116896.5019999999</v>
      </c>
      <c r="K26" s="24">
        <f t="shared" si="0"/>
        <v>2373734.088</v>
      </c>
      <c r="L26" s="24">
        <f t="shared" si="0"/>
        <v>1070957.378</v>
      </c>
      <c r="M26" s="24">
        <f t="shared" si="0"/>
        <v>977964.53100000008</v>
      </c>
      <c r="N26" s="24">
        <f t="shared" si="0"/>
        <v>1924146.7949999999</v>
      </c>
    </row>
    <row r="27" spans="1:15" x14ac:dyDescent="0.35">
      <c r="A27" s="1" t="s">
        <v>30</v>
      </c>
      <c r="B27">
        <v>1910915.024</v>
      </c>
      <c r="C27">
        <v>2341535.66</v>
      </c>
      <c r="D27">
        <v>2606309.679</v>
      </c>
      <c r="E27">
        <v>1152798.1040000001</v>
      </c>
      <c r="F27">
        <v>1056306.4450000001</v>
      </c>
      <c r="G27">
        <v>2090177.9620000001</v>
      </c>
      <c r="I27" s="12" t="s">
        <v>69</v>
      </c>
      <c r="J27" s="12"/>
      <c r="K27" s="12"/>
      <c r="L27" s="12"/>
      <c r="M27" s="18"/>
      <c r="N27" s="18"/>
    </row>
    <row r="28" spans="1:15" x14ac:dyDescent="0.35">
      <c r="A28" s="1" t="s">
        <v>31</v>
      </c>
      <c r="B28">
        <v>-17952.683000000001</v>
      </c>
      <c r="C28">
        <v>-37012.834999999999</v>
      </c>
      <c r="D28">
        <v>-52101.406999999999</v>
      </c>
      <c r="E28">
        <v>10719.303</v>
      </c>
      <c r="F28">
        <v>3746.5880000000002</v>
      </c>
      <c r="G28">
        <v>-8169.5209999999997</v>
      </c>
      <c r="I28" s="3">
        <f>B21-B23</f>
        <v>11847.911999999997</v>
      </c>
      <c r="J28" s="3">
        <f>C21-C23</f>
        <v>11300.669999999998</v>
      </c>
      <c r="K28" s="3">
        <f>D21-D23</f>
        <v>10964.900999999998</v>
      </c>
      <c r="L28" s="3">
        <f>E21-E23</f>
        <v>12312.838000000003</v>
      </c>
      <c r="M28" s="3">
        <f>F21-F23</f>
        <v>11581.053999999996</v>
      </c>
      <c r="N28" s="3">
        <f>G21-G23</f>
        <v>11041.188000000002</v>
      </c>
      <c r="O28" s="2" t="s">
        <v>61</v>
      </c>
    </row>
    <row r="29" spans="1:15" x14ac:dyDescent="0.35">
      <c r="A29" s="1" t="s">
        <v>32</v>
      </c>
      <c r="B29">
        <v>459951.68199999997</v>
      </c>
      <c r="C29">
        <v>552168.57299999997</v>
      </c>
      <c r="D29">
        <v>592075.76399999997</v>
      </c>
      <c r="E29">
        <v>286730.61800000002</v>
      </c>
      <c r="F29">
        <v>274562.12</v>
      </c>
      <c r="G29">
        <v>504155.26</v>
      </c>
      <c r="I29" s="6">
        <f>(1-B23/B21)*100</f>
        <v>16.925588571428563</v>
      </c>
      <c r="J29" s="6">
        <f>(1-C23/C21)*100</f>
        <v>16.143814285714285</v>
      </c>
      <c r="K29" s="6">
        <f>(1-D23/D21)*100</f>
        <v>15.664144285714288</v>
      </c>
      <c r="L29" s="6">
        <f>(1-E23/E21)*100</f>
        <v>17.589768571428579</v>
      </c>
      <c r="M29" s="6">
        <f>(1-F23/F21)*100</f>
        <v>16.544362857142847</v>
      </c>
      <c r="N29" s="6">
        <f>(1-G23/G21)*100</f>
        <v>15.773125714285719</v>
      </c>
      <c r="O29" s="2" t="s">
        <v>62</v>
      </c>
    </row>
    <row r="30" spans="1:15" x14ac:dyDescent="0.35">
      <c r="A30" s="1" t="s">
        <v>33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15" x14ac:dyDescent="0.35">
      <c r="A31" s="1" t="s">
        <v>34</v>
      </c>
      <c r="B31">
        <v>-3070300.5490000001</v>
      </c>
      <c r="C31">
        <v>-3096491.01</v>
      </c>
      <c r="D31">
        <v>-3116306.9890000001</v>
      </c>
      <c r="E31">
        <v>-3034314.85</v>
      </c>
      <c r="F31">
        <v>-2987027.247</v>
      </c>
      <c r="G31">
        <v>-3070256.429</v>
      </c>
      <c r="I31" s="12" t="s">
        <v>63</v>
      </c>
      <c r="J31" s="12"/>
      <c r="K31" s="12"/>
      <c r="L31" s="12"/>
      <c r="M31" s="18"/>
      <c r="N31" s="18"/>
    </row>
    <row r="32" spans="1:15" x14ac:dyDescent="0.35">
      <c r="A32" s="1" t="s">
        <v>35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I32" s="2">
        <v>10</v>
      </c>
      <c r="J32" s="2">
        <v>15</v>
      </c>
      <c r="K32" s="2">
        <v>20</v>
      </c>
      <c r="L32" s="2">
        <v>5</v>
      </c>
      <c r="M32" s="20">
        <v>5</v>
      </c>
      <c r="N32" s="20">
        <v>10</v>
      </c>
    </row>
    <row r="33" spans="1:16" x14ac:dyDescent="0.35">
      <c r="A33" s="1" t="s">
        <v>36</v>
      </c>
      <c r="B33">
        <v>4010209.4709999999</v>
      </c>
      <c r="C33">
        <v>4010205.1749999998</v>
      </c>
      <c r="D33">
        <v>4010232.5440000002</v>
      </c>
      <c r="E33">
        <v>4044312.8620000002</v>
      </c>
      <c r="F33">
        <v>4045996.324</v>
      </c>
      <c r="G33">
        <v>4044288.2919999999</v>
      </c>
      <c r="I33" s="4" cm="1">
        <f t="array" ref="I33:N33">B38:G38</f>
        <v>1735669.466</v>
      </c>
      <c r="J33" s="4">
        <v>2116896.5010000002</v>
      </c>
      <c r="K33" s="4">
        <v>2373734.0890000002</v>
      </c>
      <c r="L33" s="4">
        <v>1070957.3770000001</v>
      </c>
      <c r="M33" s="4">
        <v>977964.53099999996</v>
      </c>
      <c r="N33" s="19">
        <v>1924146.7960000001</v>
      </c>
    </row>
    <row r="34" spans="1:16" x14ac:dyDescent="0.35">
      <c r="A34" s="1" t="s">
        <v>37</v>
      </c>
      <c r="B34">
        <v>-1973136.9620000001</v>
      </c>
      <c r="C34">
        <v>-1978326.037</v>
      </c>
      <c r="D34">
        <v>-1976269.6850000001</v>
      </c>
      <c r="E34">
        <v>-1977759.226</v>
      </c>
      <c r="F34">
        <v>-1984670.581</v>
      </c>
      <c r="G34">
        <v>-1981096.524</v>
      </c>
      <c r="I34" s="7">
        <f>I33/I32</f>
        <v>173566.9466</v>
      </c>
      <c r="J34" s="7">
        <f t="shared" ref="J34:N34" si="1">J33/J32</f>
        <v>141126.43340000001</v>
      </c>
      <c r="K34" s="7">
        <f t="shared" si="1"/>
        <v>118686.70445</v>
      </c>
      <c r="L34" s="7">
        <f t="shared" si="1"/>
        <v>214191.47540000002</v>
      </c>
      <c r="M34" s="7">
        <f t="shared" si="1"/>
        <v>195592.9062</v>
      </c>
      <c r="N34" s="7">
        <f t="shared" si="1"/>
        <v>192414.6796</v>
      </c>
    </row>
    <row r="35" spans="1:16" x14ac:dyDescent="0.35">
      <c r="A35" s="1" t="s">
        <v>38</v>
      </c>
      <c r="B35">
        <v>1696497.1610000001</v>
      </c>
      <c r="C35">
        <v>1669299.0249999999</v>
      </c>
      <c r="D35">
        <v>1646217.8459999999</v>
      </c>
      <c r="E35">
        <v>1778728.0160000001</v>
      </c>
      <c r="F35">
        <v>1751473.5660000001</v>
      </c>
      <c r="G35">
        <v>1711504.0079999999</v>
      </c>
      <c r="O35" s="10" t="s">
        <v>68</v>
      </c>
      <c r="P35" s="11"/>
    </row>
    <row r="36" spans="1:16" x14ac:dyDescent="0.35">
      <c r="A36" s="1" t="s">
        <v>39</v>
      </c>
      <c r="B36">
        <v>40787.286</v>
      </c>
      <c r="C36">
        <v>27957.496999999999</v>
      </c>
      <c r="D36">
        <v>24285.807000000001</v>
      </c>
      <c r="E36">
        <v>66987.331999999995</v>
      </c>
      <c r="F36">
        <v>55172.392999999996</v>
      </c>
      <c r="G36">
        <v>39787.19</v>
      </c>
      <c r="I36" s="12" t="s">
        <v>64</v>
      </c>
      <c r="J36" s="12"/>
      <c r="K36" s="12"/>
      <c r="L36" s="12"/>
      <c r="M36" s="8"/>
      <c r="N36" s="8"/>
      <c r="O36" s="2">
        <v>0.25</v>
      </c>
      <c r="P36" s="2" t="s">
        <v>67</v>
      </c>
    </row>
    <row r="37" spans="1:16" x14ac:dyDescent="0.35">
      <c r="A37" s="1" t="s">
        <v>40</v>
      </c>
      <c r="B37">
        <v>999603.625</v>
      </c>
      <c r="C37">
        <v>998170.30900000001</v>
      </c>
      <c r="D37">
        <v>993641.54200000002</v>
      </c>
      <c r="E37">
        <v>980421.42</v>
      </c>
      <c r="F37">
        <v>979191.56700000004</v>
      </c>
      <c r="G37">
        <v>981053.99899999995</v>
      </c>
      <c r="I37" s="2">
        <v>10</v>
      </c>
      <c r="J37" s="2">
        <v>15</v>
      </c>
      <c r="K37" s="2">
        <v>20</v>
      </c>
      <c r="L37" s="2">
        <v>5</v>
      </c>
      <c r="M37" s="2">
        <v>5</v>
      </c>
      <c r="N37" s="2">
        <v>10</v>
      </c>
      <c r="O37" s="2" t="s">
        <v>65</v>
      </c>
    </row>
    <row r="38" spans="1:16" x14ac:dyDescent="0.35">
      <c r="A38" s="1" t="s">
        <v>41</v>
      </c>
      <c r="B38">
        <v>1735669.466</v>
      </c>
      <c r="C38">
        <v>2116896.5010000002</v>
      </c>
      <c r="D38">
        <v>2373734.0890000002</v>
      </c>
      <c r="E38">
        <v>1070957.3770000001</v>
      </c>
      <c r="F38">
        <v>977964.53099999996</v>
      </c>
      <c r="G38">
        <v>1924146.7960000001</v>
      </c>
      <c r="I38" s="2" cm="1">
        <f t="array" ref="I38:N38">B38:G38</f>
        <v>1735669.466</v>
      </c>
      <c r="J38" s="2">
        <v>2116896.5010000002</v>
      </c>
      <c r="K38" s="2">
        <v>2373734.0890000002</v>
      </c>
      <c r="L38" s="2">
        <v>1070957.3770000001</v>
      </c>
      <c r="M38" s="2">
        <v>977964.53099999996</v>
      </c>
      <c r="N38" s="2">
        <v>1924146.7960000001</v>
      </c>
      <c r="O38" s="7" t="s">
        <v>66</v>
      </c>
    </row>
    <row r="39" spans="1:16" x14ac:dyDescent="0.35">
      <c r="A39" s="1" t="s">
        <v>42</v>
      </c>
      <c r="B39">
        <v>-3070300.5490000001</v>
      </c>
      <c r="C39">
        <v>-3096491.01</v>
      </c>
      <c r="D39">
        <v>-3116306.9890000001</v>
      </c>
      <c r="E39">
        <v>-3034314.85</v>
      </c>
      <c r="F39">
        <v>-2987027.247</v>
      </c>
      <c r="G39">
        <v>-3070256.429</v>
      </c>
      <c r="I39" s="2">
        <f>I37/$O$36</f>
        <v>40</v>
      </c>
      <c r="J39" s="2">
        <f>J37/$O$36</f>
        <v>60</v>
      </c>
      <c r="K39" s="2">
        <f>K37/$O$36</f>
        <v>80</v>
      </c>
      <c r="L39" s="2">
        <f>L37/$O$36</f>
        <v>20</v>
      </c>
      <c r="M39" s="2">
        <f>M37/$O$36</f>
        <v>20</v>
      </c>
      <c r="N39" s="2">
        <f>N37/$O$36</f>
        <v>40</v>
      </c>
      <c r="O39" s="2" t="s">
        <v>61</v>
      </c>
    </row>
    <row r="40" spans="1:16" x14ac:dyDescent="0.35">
      <c r="A40" s="1" t="s">
        <v>43</v>
      </c>
      <c r="B40">
        <v>4773960.5810000002</v>
      </c>
      <c r="C40">
        <v>4727305.9680000003</v>
      </c>
      <c r="D40">
        <v>4698108.0539999995</v>
      </c>
      <c r="E40">
        <v>4892690.4050000003</v>
      </c>
      <c r="F40">
        <v>4847163.2699999996</v>
      </c>
      <c r="G40">
        <v>4795536.9639999997</v>
      </c>
      <c r="I40" s="7">
        <f>I38/I39</f>
        <v>43391.736649999999</v>
      </c>
      <c r="J40" s="7">
        <f t="shared" ref="J40:N40" si="2">J38/J39</f>
        <v>35281.608350000002</v>
      </c>
      <c r="K40" s="7">
        <f t="shared" si="2"/>
        <v>29671.676112500001</v>
      </c>
      <c r="L40" s="7">
        <f t="shared" si="2"/>
        <v>53547.868850000006</v>
      </c>
      <c r="M40" s="7">
        <f t="shared" si="2"/>
        <v>48898.226549999999</v>
      </c>
      <c r="N40" s="7">
        <f t="shared" si="2"/>
        <v>48103.669900000001</v>
      </c>
    </row>
    <row r="41" spans="1:16" x14ac:dyDescent="0.35">
      <c r="A41" s="1" t="s">
        <v>44</v>
      </c>
      <c r="B41">
        <v>464.3</v>
      </c>
      <c r="C41">
        <v>429.4</v>
      </c>
      <c r="D41">
        <v>411.2</v>
      </c>
      <c r="E41">
        <v>299.60000000000002</v>
      </c>
      <c r="F41">
        <v>113.4</v>
      </c>
      <c r="G41">
        <v>368.4</v>
      </c>
    </row>
    <row r="42" spans="1:16" x14ac:dyDescent="0.35">
      <c r="A42" s="1" t="s">
        <v>45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I42" s="12" t="s">
        <v>70</v>
      </c>
      <c r="J42" s="12"/>
      <c r="K42" s="12"/>
      <c r="L42" s="12"/>
      <c r="M42" s="18"/>
      <c r="N42" s="18"/>
    </row>
    <row r="43" spans="1:16" x14ac:dyDescent="0.35">
      <c r="A43" s="1" t="s">
        <v>46</v>
      </c>
      <c r="B43">
        <v>15352.806</v>
      </c>
      <c r="C43">
        <v>15483.758</v>
      </c>
      <c r="D43">
        <v>15582.838</v>
      </c>
      <c r="E43">
        <v>15172.877</v>
      </c>
      <c r="F43">
        <v>14936.439</v>
      </c>
      <c r="G43">
        <v>15352.584999999999</v>
      </c>
      <c r="I43" s="2" t="s">
        <v>80</v>
      </c>
      <c r="J43" s="2" t="s">
        <v>79</v>
      </c>
      <c r="K43" s="2" t="s">
        <v>78</v>
      </c>
      <c r="L43" s="2" t="s">
        <v>81</v>
      </c>
      <c r="M43" s="2" t="s">
        <v>82</v>
      </c>
      <c r="N43" s="1" t="s">
        <v>83</v>
      </c>
    </row>
    <row r="44" spans="1:16" x14ac:dyDescent="0.35">
      <c r="A44" s="1" t="s">
        <v>47</v>
      </c>
      <c r="B44">
        <v>11071.228999999999</v>
      </c>
      <c r="C44">
        <v>13371.332</v>
      </c>
      <c r="D44">
        <v>14505.031999999999</v>
      </c>
      <c r="E44">
        <v>7021.2669999999998</v>
      </c>
      <c r="F44">
        <v>6621.83</v>
      </c>
      <c r="G44">
        <v>12056.321</v>
      </c>
      <c r="I44" s="8">
        <f>B5-B18</f>
        <v>655.30400000000009</v>
      </c>
      <c r="J44" s="8">
        <f>C5-C18</f>
        <v>524.35200000000077</v>
      </c>
      <c r="K44" s="8">
        <f>D5-D18</f>
        <v>425.27200000000084</v>
      </c>
      <c r="L44" s="8">
        <f>E5-E18</f>
        <v>835.23300000000017</v>
      </c>
      <c r="M44" s="8">
        <f>F5-F18</f>
        <v>1071.6710000000003</v>
      </c>
      <c r="N44" s="8">
        <f>G5-G18</f>
        <v>655.52500000000146</v>
      </c>
      <c r="O44" t="s">
        <v>61</v>
      </c>
    </row>
    <row r="45" spans="1:16" x14ac:dyDescent="0.35">
      <c r="A45" s="1" t="s">
        <v>48</v>
      </c>
      <c r="B45">
        <v>18167.159</v>
      </c>
      <c r="C45">
        <v>18351.059000000001</v>
      </c>
      <c r="D45">
        <v>18329.598000000002</v>
      </c>
      <c r="E45">
        <v>18026.526999999998</v>
      </c>
      <c r="F45">
        <v>17855.214</v>
      </c>
      <c r="G45">
        <v>18180.566999999999</v>
      </c>
      <c r="I45" s="9">
        <f>-I44/B18*100%</f>
        <v>4.0935750691368317E-2</v>
      </c>
      <c r="J45" s="9">
        <f>-J44/C18*100%</f>
        <v>3.2755397108090882E-2</v>
      </c>
      <c r="K45" s="9">
        <f>-K44/D18*100%</f>
        <v>2.6566034341343282E-2</v>
      </c>
      <c r="L45" s="9">
        <f>-L44/E18*100%</f>
        <v>5.2175615984647788E-2</v>
      </c>
      <c r="M45" s="9">
        <f>-M44/F18*100%</f>
        <v>6.6945504497407896E-2</v>
      </c>
      <c r="N45" s="9">
        <f>-N44/G18*100%</f>
        <v>4.0949556193704405E-2</v>
      </c>
    </row>
    <row r="46" spans="1:16" x14ac:dyDescent="0.35">
      <c r="A46" s="1" t="s">
        <v>49</v>
      </c>
      <c r="B46">
        <v>7343.2070000000003</v>
      </c>
      <c r="C46">
        <v>8855</v>
      </c>
      <c r="D46">
        <v>9588.9770000000008</v>
      </c>
      <c r="E46">
        <v>4872.6040000000003</v>
      </c>
      <c r="F46">
        <v>4662.6689999999999</v>
      </c>
      <c r="G46">
        <v>7574.9030000000002</v>
      </c>
    </row>
    <row r="47" spans="1:16" x14ac:dyDescent="0.35">
      <c r="A47" s="1" t="s">
        <v>50</v>
      </c>
      <c r="B47">
        <v>1305.154</v>
      </c>
      <c r="C47">
        <v>895.58199999999999</v>
      </c>
      <c r="D47">
        <v>785.36699999999996</v>
      </c>
      <c r="E47">
        <v>2194.4110000000001</v>
      </c>
      <c r="F47">
        <v>1734.662</v>
      </c>
      <c r="G47">
        <v>1268.2860000000001</v>
      </c>
    </row>
    <row r="48" spans="1:16" x14ac:dyDescent="0.35">
      <c r="A48" s="1" t="s">
        <v>51</v>
      </c>
      <c r="B48">
        <v>-1842.6</v>
      </c>
      <c r="C48">
        <v>-2026.6</v>
      </c>
      <c r="D48">
        <v>-2180</v>
      </c>
      <c r="E48">
        <v>-1414.3</v>
      </c>
      <c r="F48">
        <v>-1299.5</v>
      </c>
      <c r="G48">
        <v>-1852.9</v>
      </c>
    </row>
    <row r="49" spans="1:14" x14ac:dyDescent="0.35">
      <c r="A49" s="1" t="s">
        <v>52</v>
      </c>
      <c r="B49">
        <v>-48735.7</v>
      </c>
      <c r="C49">
        <v>-48731.199999999997</v>
      </c>
      <c r="D49">
        <v>-48731.5</v>
      </c>
      <c r="E49">
        <v>-49204</v>
      </c>
      <c r="F49">
        <v>-49419.6</v>
      </c>
      <c r="G49">
        <v>-49206.5</v>
      </c>
      <c r="I49" s="2" t="s">
        <v>80</v>
      </c>
      <c r="J49" s="2" t="s">
        <v>79</v>
      </c>
      <c r="K49" s="2" t="s">
        <v>78</v>
      </c>
      <c r="L49" s="2" t="s">
        <v>81</v>
      </c>
      <c r="M49" s="2" t="s">
        <v>82</v>
      </c>
      <c r="N49" s="1" t="s">
        <v>83</v>
      </c>
    </row>
    <row r="50" spans="1:14" x14ac:dyDescent="0.35">
      <c r="A50" s="1" t="s">
        <v>53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 t="s">
        <v>72</v>
      </c>
      <c r="I50" s="17">
        <f>B40</f>
        <v>4773960.5810000002</v>
      </c>
      <c r="J50" s="17">
        <f t="shared" ref="J50:N50" si="3">C40</f>
        <v>4727305.9680000003</v>
      </c>
      <c r="K50" s="17">
        <f t="shared" si="3"/>
        <v>4698108.0539999995</v>
      </c>
      <c r="L50" s="17">
        <f t="shared" si="3"/>
        <v>4892690.4050000003</v>
      </c>
      <c r="M50" s="22">
        <f t="shared" si="3"/>
        <v>4847163.2699999996</v>
      </c>
      <c r="N50" s="22">
        <f t="shared" si="3"/>
        <v>4795536.9639999997</v>
      </c>
    </row>
    <row r="51" spans="1:14" x14ac:dyDescent="0.35">
      <c r="A51" s="1" t="s">
        <v>54</v>
      </c>
      <c r="B51">
        <v>-14364.571</v>
      </c>
      <c r="C51">
        <v>-17375.221000000001</v>
      </c>
      <c r="D51">
        <v>-18803.330999999998</v>
      </c>
      <c r="E51">
        <v>-9030.7759999999998</v>
      </c>
      <c r="F51">
        <v>-8444.23</v>
      </c>
      <c r="G51">
        <v>-15211.601000000001</v>
      </c>
      <c r="H51" t="s">
        <v>73</v>
      </c>
      <c r="I51" s="17">
        <f>B38</f>
        <v>1735669.466</v>
      </c>
      <c r="J51" s="17">
        <f t="shared" ref="J51:N51" si="4">C38</f>
        <v>2116896.5010000002</v>
      </c>
      <c r="K51" s="17">
        <f t="shared" si="4"/>
        <v>2373734.0890000002</v>
      </c>
      <c r="L51" s="17">
        <f t="shared" si="4"/>
        <v>1070957.3770000001</v>
      </c>
      <c r="M51" s="22">
        <f t="shared" si="4"/>
        <v>977964.53099999996</v>
      </c>
      <c r="N51" s="22">
        <f t="shared" si="4"/>
        <v>1924146.7960000001</v>
      </c>
    </row>
    <row r="52" spans="1:14" x14ac:dyDescent="0.35">
      <c r="A52" s="1" t="s">
        <v>55</v>
      </c>
      <c r="B52">
        <v>-20615.995999999999</v>
      </c>
      <c r="C52">
        <v>-20859.278999999999</v>
      </c>
      <c r="D52">
        <v>-21083.08</v>
      </c>
      <c r="E52">
        <v>-20708.348999999998</v>
      </c>
      <c r="F52">
        <v>-20568.128000000001</v>
      </c>
      <c r="G52">
        <v>-21047.566999999999</v>
      </c>
      <c r="H52" t="s">
        <v>74</v>
      </c>
      <c r="I52" s="17">
        <f>I51/I37</f>
        <v>173566.9466</v>
      </c>
      <c r="J52" s="17">
        <f t="shared" ref="J52:N52" si="5">J51/J37</f>
        <v>141126.43340000001</v>
      </c>
      <c r="K52" s="17">
        <f t="shared" si="5"/>
        <v>118686.70445</v>
      </c>
      <c r="L52" s="17">
        <f t="shared" si="5"/>
        <v>214191.47540000002</v>
      </c>
      <c r="M52" s="22">
        <f t="shared" si="5"/>
        <v>195592.9062</v>
      </c>
      <c r="N52" s="22">
        <f t="shared" si="5"/>
        <v>192414.6796</v>
      </c>
    </row>
    <row r="53" spans="1:14" x14ac:dyDescent="0.35">
      <c r="A53" s="1" t="s">
        <v>56</v>
      </c>
      <c r="B53">
        <v>-1474.1389999999999</v>
      </c>
      <c r="C53">
        <v>-1804.085</v>
      </c>
      <c r="D53">
        <v>-1941.9960000000001</v>
      </c>
      <c r="E53">
        <v>-985.80799999999999</v>
      </c>
      <c r="F53">
        <v>-952.80700000000002</v>
      </c>
      <c r="G53">
        <v>-1612.643</v>
      </c>
      <c r="H53" t="s">
        <v>75</v>
      </c>
      <c r="I53" s="17">
        <f>I51/I39</f>
        <v>43391.736649999999</v>
      </c>
      <c r="J53" s="17">
        <f t="shared" ref="J53:M53" si="6">J51/J39</f>
        <v>35281.608350000002</v>
      </c>
      <c r="K53" s="17">
        <f t="shared" si="6"/>
        <v>29671.676112500001</v>
      </c>
      <c r="L53" s="17">
        <f t="shared" si="6"/>
        <v>53547.868850000006</v>
      </c>
      <c r="M53" s="22">
        <f t="shared" si="6"/>
        <v>48898.226549999999</v>
      </c>
      <c r="N53" s="22">
        <f t="shared" ref="N53" si="7">N51/N39</f>
        <v>48103.669900000001</v>
      </c>
    </row>
    <row r="54" spans="1:14" x14ac:dyDescent="0.35">
      <c r="A54" s="1" t="s">
        <v>57</v>
      </c>
      <c r="B54">
        <v>-8273.4110000000001</v>
      </c>
      <c r="C54">
        <v>-8356.19</v>
      </c>
      <c r="D54">
        <v>-8336.2009999999991</v>
      </c>
      <c r="E54">
        <v>-7996.6229999999996</v>
      </c>
      <c r="F54">
        <v>-8021.9449999999997</v>
      </c>
      <c r="G54">
        <v>-8154.3329999999996</v>
      </c>
      <c r="H54" t="s">
        <v>76</v>
      </c>
      <c r="I54">
        <f>B7</f>
        <v>288.57400000000001</v>
      </c>
      <c r="J54">
        <f t="shared" ref="J54:N54" si="8">C7</f>
        <v>232.32300000000001</v>
      </c>
      <c r="K54">
        <f t="shared" si="8"/>
        <v>189.30799999999999</v>
      </c>
      <c r="L54">
        <f t="shared" si="8"/>
        <v>368.91300000000001</v>
      </c>
      <c r="M54" s="22">
        <f t="shared" si="8"/>
        <v>339.108</v>
      </c>
      <c r="N54" s="22">
        <f t="shared" si="8"/>
        <v>319.28399999999999</v>
      </c>
    </row>
    <row r="57" spans="1:14" x14ac:dyDescent="0.35">
      <c r="M57" s="21"/>
      <c r="N57" s="21"/>
    </row>
  </sheetData>
  <mergeCells count="6">
    <mergeCell ref="O35:P35"/>
    <mergeCell ref="I42:L42"/>
    <mergeCell ref="I27:L27"/>
    <mergeCell ref="I31:L31"/>
    <mergeCell ref="I36:L36"/>
    <mergeCell ref="B1:F1"/>
  </mergeCells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5383b5-5897-4896-b7cb-a176725ec85b">
      <Terms xmlns="http://schemas.microsoft.com/office/infopath/2007/PartnerControls"/>
    </lcf76f155ced4ddcb4097134ff3c332f>
    <TaxCatchAll xmlns="1b3afe8f-0631-40d7-a4a6-b3c10e5da6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3EB7253CAA0A4FB7BD5BDDA409AA1B" ma:contentTypeVersion="12" ma:contentTypeDescription="Een nieuw document maken." ma:contentTypeScope="" ma:versionID="7d5836d5336ba01904a9d3485799d044">
  <xsd:schema xmlns:xsd="http://www.w3.org/2001/XMLSchema" xmlns:xs="http://www.w3.org/2001/XMLSchema" xmlns:p="http://schemas.microsoft.com/office/2006/metadata/properties" xmlns:ns2="075383b5-5897-4896-b7cb-a176725ec85b" xmlns:ns3="1b3afe8f-0631-40d7-a4a6-b3c10e5da665" targetNamespace="http://schemas.microsoft.com/office/2006/metadata/properties" ma:root="true" ma:fieldsID="3783229b7977003e61a64da5acbe3277" ns2:_="" ns3:_="">
    <xsd:import namespace="075383b5-5897-4896-b7cb-a176725ec85b"/>
    <xsd:import namespace="1b3afe8f-0631-40d7-a4a6-b3c10e5da6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5383b5-5897-4896-b7cb-a176725ec8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80b97e4b-17ba-4fb6-97fc-4e649e10d0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3afe8f-0631-40d7-a4a6-b3c10e5da6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b9525a-29a4-4a30-9b88-6e18ef1aaf89}" ma:internalName="TaxCatchAll" ma:showField="CatchAllData" ma:web="1b3afe8f-0631-40d7-a4a6-b3c10e5da6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592097-3EE6-43BB-BCE8-5779059AB906}">
  <ds:schemaRefs>
    <ds:schemaRef ds:uri="http://schemas.microsoft.com/office/2006/metadata/properties"/>
    <ds:schemaRef ds:uri="http://schemas.microsoft.com/office/infopath/2007/PartnerControls"/>
    <ds:schemaRef ds:uri="075383b5-5897-4896-b7cb-a176725ec85b"/>
    <ds:schemaRef ds:uri="1b3afe8f-0631-40d7-a4a6-b3c10e5da665"/>
  </ds:schemaRefs>
</ds:datastoreItem>
</file>

<file path=customXml/itemProps2.xml><?xml version="1.0" encoding="utf-8"?>
<ds:datastoreItem xmlns:ds="http://schemas.openxmlformats.org/officeDocument/2006/customXml" ds:itemID="{9A9F5FB4-E7DC-413B-B186-BD3F8AF501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5383b5-5897-4896-b7cb-a176725ec85b"/>
    <ds:schemaRef ds:uri="1b3afe8f-0631-40d7-a4a6-b3c10e5da6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196D8F-84F2-4E70-93CE-769FFDE335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Yearly_simulation_comparison_RE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Diederik Kokkedee</cp:lastModifiedBy>
  <dcterms:created xsi:type="dcterms:W3CDTF">2025-10-07T13:24:29Z</dcterms:created>
  <dcterms:modified xsi:type="dcterms:W3CDTF">2025-10-17T14:27:26Z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0x0101000D3EB7253CAA0A4FB7BD5BDDA409AA1B</vt:lpwstr>
  </property>
  <property fmtid="{D5CDD505-2E9C-101B-9397-08002B2CF9AE}" pid="3" name="MediaServiceImageTags">
    <vt:lpwstr/>
  </property>
</Properties>
</file>